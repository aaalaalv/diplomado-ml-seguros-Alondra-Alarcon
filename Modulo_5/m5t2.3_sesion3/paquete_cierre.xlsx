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Tarifa" sheetId="2" state="visible" r:id="rId2"/>
    <sheet name="Reservas" sheetId="3" state="visible" r:id="rId3"/>
    <sheet name="Resumen" sheetId="4" state="visible" r:id="rId4"/>
    <sheet name="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0F2A43"/>
      <sz val="14"/>
    </font>
    <font>
      <b val="1"/>
    </font>
    <font>
      <b val="1"/>
      <color rgb="001C7293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8F3F1"/>
      </patternFill>
    </fill>
    <fill>
      <patternFill patternType="solid">
        <fgColor rgb="001C7293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2" fillId="2" borderId="1" pivotButton="0" quotePrefix="0" xfId="0"/>
    <xf numFmtId="164" fontId="0" fillId="2" borderId="1" pivotButton="0" quotePrefix="0" xfId="0"/>
    <xf numFmtId="3" fontId="0" fillId="2" borderId="1" pivotButton="0" quotePrefix="0" xfId="0"/>
    <xf numFmtId="165" fontId="0" fillId="0" borderId="1" pivotButton="0" quotePrefix="0" xfId="0"/>
    <xf numFmtId="0" fontId="0" fillId="4" borderId="1" applyProtection="1" pivotButton="0" quotePrefix="0" xfId="0">
      <protection locked="0" hidden="0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Factores por combustible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cat>
            <numRef>
              <f>'Tarifa'!$A$14:$A$15</f>
            </numRef>
          </cat>
          <val>
            <numRef>
              <f>'Tarifa'!$B$14:$B$15</f>
            </numRef>
          </val>
        </ser>
        <dLbls>
          <numFmt formatCode="0.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Categoria de combustible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90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</cols>
  <sheetData>
    <row r="1">
      <c r="A1" s="1" t="inlineStr">
        <is>
          <t>PAQUETE DE CIERRE MENSUAL — EJEMPLO DIDÁCTICO</t>
        </is>
      </c>
    </row>
    <row r="3">
      <c r="A3" s="2" t="inlineStr">
        <is>
          <t>Fecha</t>
        </is>
      </c>
      <c r="B3" s="11">
        <f>TODAY()</f>
        <v/>
      </c>
    </row>
    <row r="4">
      <c r="A4" s="2" t="inlineStr">
        <is>
          <t>Elaboró</t>
        </is>
      </c>
      <c r="B4" s="3" t="inlineStr">
        <is>
          <t>Alondra Abril Alarcon Alvarez</t>
        </is>
      </c>
    </row>
    <row r="6">
      <c r="A6" s="4" t="inlineStr">
        <is>
          <t>Contenido:</t>
        </is>
      </c>
    </row>
    <row r="7">
      <c r="A7" t="inlineStr">
        <is>
          <t>Tarifa + Cotizador · Cédula de Reservas · Resumen ejecutivo ·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TARIFA — factores y cotizador</t>
        </is>
      </c>
    </row>
    <row r="2">
      <c r="A2" s="2" t="inlineStr">
        <is>
          <t>Prima base</t>
        </is>
      </c>
      <c r="B2" s="12" t="n">
        <v>226.09</v>
      </c>
    </row>
    <row r="3"/>
    <row r="4">
      <c r="A4" s="4" t="inlineStr">
        <is>
          <t>FACTOR: Cobertura</t>
        </is>
      </c>
      <c r="B4" s="5" t="inlineStr">
        <is>
          <t>Factor</t>
        </is>
      </c>
      <c r="D4" s="4" t="inlineStr">
        <is>
          <t>COTIZADOR</t>
        </is>
      </c>
      <c r="E4" s="6" t="inlineStr">
        <is>
          <t>Selección</t>
        </is>
      </c>
      <c r="F4" s="6" t="inlineStr">
        <is>
          <t>Factor</t>
        </is>
      </c>
    </row>
    <row r="5">
      <c r="A5" s="7" t="inlineStr">
        <is>
          <t>Amplia</t>
        </is>
      </c>
      <c r="B5" s="13" t="n">
        <v>1</v>
      </c>
      <c r="D5" s="2" t="inlineStr">
        <is>
          <t>Cobertura</t>
        </is>
      </c>
      <c r="E5" s="14" t="inlineStr">
        <is>
          <t>Amplia</t>
        </is>
      </c>
      <c r="F5" s="13">
        <f>VLOOKUP(E5,$A$5:$B$7,2, FALSE)</f>
        <v/>
      </c>
    </row>
    <row r="6">
      <c r="A6" s="7" t="inlineStr">
        <is>
          <t>Limitada</t>
        </is>
      </c>
      <c r="B6" s="13" t="n">
        <v>0.6656493405398436</v>
      </c>
      <c r="D6" s="2" t="inlineStr">
        <is>
          <t>Sexo</t>
        </is>
      </c>
      <c r="E6" s="14" t="inlineStr">
        <is>
          <t>Hombre</t>
        </is>
      </c>
      <c r="F6" s="13">
        <f>VLOOKUP(E6,$A$10:$B$11,2, FALSE)</f>
        <v/>
      </c>
    </row>
    <row r="7">
      <c r="A7" s="7" t="inlineStr">
        <is>
          <t>RC</t>
        </is>
      </c>
      <c r="B7" s="13" t="n">
        <v>0.8966789695048488</v>
      </c>
      <c r="D7" s="2" t="inlineStr">
        <is>
          <t>Combustible</t>
        </is>
      </c>
      <c r="E7" s="14" t="inlineStr">
        <is>
          <t>Diesel</t>
        </is>
      </c>
      <c r="F7" s="13">
        <f>VLOOKUP(E7,$A$14:$B$16,2, FALSE)</f>
        <v/>
      </c>
    </row>
    <row r="8">
      <c r="D8" s="2" t="inlineStr">
        <is>
          <t>Edad (banda)</t>
        </is>
      </c>
      <c r="E8" s="14" t="inlineStr">
        <is>
          <t>(17, 30]</t>
        </is>
      </c>
      <c r="F8" s="13">
        <f>VLOOKUP(E8,$A$19:$B$25,2, FALSE)</f>
        <v/>
      </c>
    </row>
    <row r="9">
      <c r="A9" s="4" t="inlineStr">
        <is>
          <t>FACTOR: Sexo</t>
        </is>
      </c>
      <c r="B9" s="5" t="inlineStr">
        <is>
          <t>Factor</t>
        </is>
      </c>
      <c r="D9" s="2" t="inlineStr">
        <is>
          <t>Potencia (banda)</t>
        </is>
      </c>
      <c r="E9" s="14" t="inlineStr">
        <is>
          <t>(40, 50]</t>
        </is>
      </c>
      <c r="F9" s="13">
        <f>VLOOKUP(E9,$A$28:$B$32,2, FALSE)</f>
        <v/>
      </c>
    </row>
    <row r="10">
      <c r="A10" s="7" t="inlineStr">
        <is>
          <t>Hombre</t>
        </is>
      </c>
      <c r="B10" s="13" t="n">
        <v>1</v>
      </c>
      <c r="D10" s="2" t="inlineStr">
        <is>
          <t>Bonus (banda)</t>
        </is>
      </c>
      <c r="E10" s="14" t="inlineStr">
        <is>
          <t>(-1, 0]</t>
        </is>
      </c>
      <c r="F10" s="13">
        <f>VLOOKUP(E10,$A$35:$B$40,2, FALSE)</f>
        <v/>
      </c>
    </row>
    <row r="11">
      <c r="A11" s="7" t="inlineStr">
        <is>
          <t>Mujer</t>
        </is>
      </c>
      <c r="B11" s="13" t="n">
        <v>0.9699612432432101</v>
      </c>
    </row>
    <row r="12">
      <c r="D12" s="2" t="inlineStr">
        <is>
          <t>PRIMA PURA</t>
        </is>
      </c>
      <c r="E12" s="12">
        <f>B2*PRODUCT(F5:F10)</f>
        <v/>
      </c>
    </row>
    <row r="13">
      <c r="A13" s="4" t="inlineStr">
        <is>
          <t>FACTOR: Combustible</t>
        </is>
      </c>
      <c r="B13" s="5" t="inlineStr">
        <is>
          <t>Factor</t>
        </is>
      </c>
    </row>
    <row r="14">
      <c r="A14" s="7" t="inlineStr">
        <is>
          <t>Diesel</t>
        </is>
      </c>
      <c r="B14" s="13" t="n">
        <v>1</v>
      </c>
    </row>
    <row r="15">
      <c r="A15" s="7" t="inlineStr">
        <is>
          <t>Gasolina</t>
        </is>
      </c>
      <c r="B15" s="13" t="n">
        <v>0.8466379143466094</v>
      </c>
    </row>
    <row r="16">
      <c r="A16" s="7" t="n"/>
      <c r="B16" s="7" t="n"/>
    </row>
    <row r="17"/>
    <row r="18">
      <c r="A18" s="4" t="inlineStr">
        <is>
          <t>FACTOR: Edad (banda)</t>
        </is>
      </c>
      <c r="B18" s="5" t="inlineStr">
        <is>
          <t>Factor</t>
        </is>
      </c>
    </row>
    <row r="19">
      <c r="A19" s="7" t="inlineStr">
        <is>
          <t>(17, 30]</t>
        </is>
      </c>
      <c r="B19" s="13" t="n">
        <v>1</v>
      </c>
    </row>
    <row r="20">
      <c r="A20" s="7" t="inlineStr">
        <is>
          <t>(30, 35]</t>
        </is>
      </c>
      <c r="B20" s="13" t="n">
        <v>0.8261771914354247</v>
      </c>
    </row>
    <row r="21">
      <c r="A21" s="7" t="inlineStr">
        <is>
          <t>(35, 45]</t>
        </is>
      </c>
      <c r="B21" s="13" t="n">
        <v>0.7408594743368181</v>
      </c>
    </row>
    <row r="22">
      <c r="A22" s="7" t="inlineStr">
        <is>
          <t>(45, 50]</t>
        </is>
      </c>
      <c r="B22" s="13" t="n">
        <v>0.8029493369563157</v>
      </c>
    </row>
    <row r="23">
      <c r="A23" s="7" t="inlineStr">
        <is>
          <t>(50, 55]</t>
        </is>
      </c>
      <c r="B23" s="13" t="n">
        <v>0.6520153258186366</v>
      </c>
    </row>
    <row r="24">
      <c r="A24" s="7" t="inlineStr">
        <is>
          <t>(55, 60]</t>
        </is>
      </c>
      <c r="B24" s="13" t="n">
        <v>0.5804444409791321</v>
      </c>
    </row>
    <row r="25">
      <c r="A25" s="7" t="inlineStr">
        <is>
          <t>(60, 95]</t>
        </is>
      </c>
      <c r="B25" s="13" t="n">
        <v>0.6469440000701314</v>
      </c>
    </row>
    <row r="26"/>
    <row r="27">
      <c r="A27" s="4" t="inlineStr">
        <is>
          <t>FACTOR: Potencia (banda)</t>
        </is>
      </c>
      <c r="B27" s="5" t="inlineStr">
        <is>
          <t>Factor</t>
        </is>
      </c>
    </row>
    <row r="28">
      <c r="A28" s="7" t="inlineStr">
        <is>
          <t>(40, 50]</t>
        </is>
      </c>
      <c r="B28" s="13" t="n">
        <v>1</v>
      </c>
    </row>
    <row r="29">
      <c r="A29" s="7" t="inlineStr">
        <is>
          <t>(50, 60]</t>
        </is>
      </c>
      <c r="B29" s="13" t="n">
        <v>0.9500783128014533</v>
      </c>
    </row>
    <row r="30">
      <c r="A30" s="7" t="inlineStr">
        <is>
          <t>(60, 70]</t>
        </is>
      </c>
      <c r="B30" s="13" t="n">
        <v>1.024391013400341</v>
      </c>
    </row>
    <row r="31">
      <c r="A31" s="7" t="inlineStr">
        <is>
          <t>(70, 250]</t>
        </is>
      </c>
      <c r="B31" s="13" t="n">
        <v>1.183628395789603</v>
      </c>
    </row>
    <row r="32">
      <c r="A32" s="7" t="inlineStr">
        <is>
          <t>(9, 40]</t>
        </is>
      </c>
      <c r="B32" s="13" t="n">
        <v>0.935261337147046</v>
      </c>
    </row>
    <row r="33"/>
    <row r="34">
      <c r="A34" s="4" t="inlineStr">
        <is>
          <t>FACTOR: Bonus (banda)</t>
        </is>
      </c>
      <c r="B34" s="5" t="inlineStr">
        <is>
          <t>Factor</t>
        </is>
      </c>
    </row>
    <row r="35">
      <c r="A35" s="7" t="inlineStr">
        <is>
          <t>(-1, 0]</t>
        </is>
      </c>
      <c r="B35" s="13" t="n">
        <v>1</v>
      </c>
    </row>
    <row r="36">
      <c r="A36" s="7" t="inlineStr">
        <is>
          <t>(0, 1]</t>
        </is>
      </c>
      <c r="B36" s="13" t="n">
        <v>1.23168778433306</v>
      </c>
    </row>
    <row r="37">
      <c r="A37" s="7" t="inlineStr">
        <is>
          <t>(1, 2]</t>
        </is>
      </c>
      <c r="B37" s="13" t="n">
        <v>1.272116747819814</v>
      </c>
    </row>
    <row r="38">
      <c r="A38" s="7" t="inlineStr">
        <is>
          <t>(10, 25]</t>
        </is>
      </c>
      <c r="B38" s="13" t="n">
        <v>2.531218192861674</v>
      </c>
    </row>
    <row r="39">
      <c r="A39" s="7" t="inlineStr">
        <is>
          <t>(2, 5]</t>
        </is>
      </c>
      <c r="B39" s="13" t="n">
        <v>1.521040842241534</v>
      </c>
    </row>
    <row r="40">
      <c r="A40" s="7" t="inlineStr">
        <is>
          <t>(5, 10]</t>
        </is>
      </c>
      <c r="B40" s="13" t="n">
        <v>1.865401637847907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6">
    <dataValidation sqref="E5" showDropDown="0" showInputMessage="0" showErrorMessage="0" allowBlank="0" type="list">
      <formula1>=Tarifa!$A$5:$A$7</formula1>
    </dataValidation>
    <dataValidation sqref="E6" showDropDown="0" showInputMessage="0" showErrorMessage="0" allowBlank="0" type="list">
      <formula1>=Tarifa!$A$10:$A$11</formula1>
    </dataValidation>
    <dataValidation sqref="E7" showDropDown="0" showInputMessage="0" showErrorMessage="0" allowBlank="0" type="list">
      <formula1>=Tarifa!$A$14:$A$16</formula1>
    </dataValidation>
    <dataValidation sqref="E8" showDropDown="0" showInputMessage="0" showErrorMessage="0" allowBlank="0" type="list">
      <formula1>=Tarifa!$A$19:$A$25</formula1>
    </dataValidation>
    <dataValidation sqref="E9" showDropDown="0" showInputMessage="0" showErrorMessage="0" allowBlank="0" type="list">
      <formula1>=Tarifa!$A$28:$A$32</formula1>
    </dataValidation>
    <dataValidation sqref="E10" showDropDown="0" showInputMessage="0" showErrorMessage="0" allowBlank="0" type="list">
      <formula1>=Tarifa!$A$35:$A$40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CÉDULA DE RESERVAS</t>
        </is>
      </c>
    </row>
    <row r="4">
      <c r="A4" s="4" t="inlineStr">
        <is>
          <t>TRIÁNGULO DE SINIESTROS ACUMULADOS</t>
        </is>
      </c>
    </row>
    <row r="5">
      <c r="A5" s="6" t="inlineStr">
        <is>
          <t>Año origen</t>
        </is>
      </c>
      <c r="B5" s="5" t="n">
        <v>12</v>
      </c>
      <c r="C5" s="5" t="n">
        <v>24</v>
      </c>
      <c r="D5" s="5" t="n">
        <v>36</v>
      </c>
      <c r="E5" s="5" t="n">
        <v>48</v>
      </c>
      <c r="F5" s="5" t="n">
        <v>60</v>
      </c>
      <c r="G5" s="5" t="n">
        <v>72</v>
      </c>
      <c r="H5" s="5" t="n">
        <v>84</v>
      </c>
      <c r="I5" s="5" t="n">
        <v>96</v>
      </c>
      <c r="J5" s="5" t="n">
        <v>108</v>
      </c>
      <c r="K5" s="5" t="n">
        <v>120</v>
      </c>
    </row>
    <row r="6">
      <c r="A6" s="3" t="n">
        <v>1981</v>
      </c>
      <c r="B6" s="15" t="n">
        <v>5012</v>
      </c>
      <c r="C6" s="15" t="n">
        <v>8269</v>
      </c>
      <c r="D6" s="15" t="n">
        <v>10907</v>
      </c>
      <c r="E6" s="15" t="n">
        <v>11805</v>
      </c>
      <c r="F6" s="15" t="n">
        <v>13539</v>
      </c>
      <c r="G6" s="15" t="n">
        <v>16181</v>
      </c>
      <c r="H6" s="15" t="n">
        <v>18009</v>
      </c>
      <c r="I6" s="15" t="n">
        <v>18608</v>
      </c>
      <c r="J6" s="15" t="n">
        <v>18662</v>
      </c>
      <c r="K6" s="15" t="n">
        <v>18834</v>
      </c>
    </row>
    <row r="7">
      <c r="A7" s="3" t="n">
        <v>1982</v>
      </c>
      <c r="B7" s="15" t="n">
        <v>106</v>
      </c>
      <c r="C7" s="15" t="n">
        <v>4285</v>
      </c>
      <c r="D7" s="15" t="n">
        <v>5396</v>
      </c>
      <c r="E7" s="15" t="n">
        <v>10666</v>
      </c>
      <c r="F7" s="15" t="n">
        <v>13782</v>
      </c>
      <c r="G7" s="15" t="n">
        <v>15599</v>
      </c>
      <c r="H7" s="15" t="n">
        <v>15496</v>
      </c>
      <c r="I7" s="15" t="n">
        <v>16169</v>
      </c>
      <c r="J7" s="15" t="n">
        <v>16704</v>
      </c>
      <c r="K7" s="7" t="n"/>
    </row>
    <row r="8">
      <c r="A8" s="3" t="n">
        <v>1983</v>
      </c>
      <c r="B8" s="15" t="n">
        <v>3410</v>
      </c>
      <c r="C8" s="15" t="n">
        <v>8992</v>
      </c>
      <c r="D8" s="15" t="n">
        <v>13873</v>
      </c>
      <c r="E8" s="15" t="n">
        <v>16141</v>
      </c>
      <c r="F8" s="15" t="n">
        <v>18735</v>
      </c>
      <c r="G8" s="15" t="n">
        <v>22214</v>
      </c>
      <c r="H8" s="15" t="n">
        <v>22863</v>
      </c>
      <c r="I8" s="15" t="n">
        <v>23466</v>
      </c>
      <c r="J8" s="7" t="n"/>
      <c r="K8" s="7" t="n"/>
    </row>
    <row r="9">
      <c r="A9" s="3" t="n">
        <v>1984</v>
      </c>
      <c r="B9" s="15" t="n">
        <v>5655</v>
      </c>
      <c r="C9" s="15" t="n">
        <v>11555</v>
      </c>
      <c r="D9" s="15" t="n">
        <v>15766</v>
      </c>
      <c r="E9" s="15" t="n">
        <v>21266</v>
      </c>
      <c r="F9" s="15" t="n">
        <v>23425</v>
      </c>
      <c r="G9" s="15" t="n">
        <v>26083</v>
      </c>
      <c r="H9" s="15" t="n">
        <v>27067</v>
      </c>
      <c r="I9" s="7" t="n"/>
      <c r="J9" s="7" t="n"/>
      <c r="K9" s="7" t="n"/>
    </row>
    <row r="10">
      <c r="A10" s="3" t="n">
        <v>1985</v>
      </c>
      <c r="B10" s="15" t="n">
        <v>1092</v>
      </c>
      <c r="C10" s="15" t="n">
        <v>9565</v>
      </c>
      <c r="D10" s="15" t="n">
        <v>15836</v>
      </c>
      <c r="E10" s="15" t="n">
        <v>22169</v>
      </c>
      <c r="F10" s="15" t="n">
        <v>25955</v>
      </c>
      <c r="G10" s="15" t="n">
        <v>26180</v>
      </c>
      <c r="H10" s="7" t="n"/>
      <c r="I10" s="7" t="n"/>
      <c r="J10" s="7" t="n"/>
      <c r="K10" s="7" t="n"/>
    </row>
    <row r="11">
      <c r="A11" s="3" t="n">
        <v>1986</v>
      </c>
      <c r="B11" s="15" t="n">
        <v>1513</v>
      </c>
      <c r="C11" s="15" t="n">
        <v>6445</v>
      </c>
      <c r="D11" s="15" t="n">
        <v>11702</v>
      </c>
      <c r="E11" s="15" t="n">
        <v>12935</v>
      </c>
      <c r="F11" s="15" t="n">
        <v>15852</v>
      </c>
      <c r="G11" s="7" t="n"/>
      <c r="H11" s="7" t="n"/>
      <c r="I11" s="7" t="n"/>
      <c r="J11" s="7" t="n"/>
      <c r="K11" s="7" t="n"/>
    </row>
    <row r="12">
      <c r="A12" s="3" t="n">
        <v>1987</v>
      </c>
      <c r="B12" s="15" t="n">
        <v>557</v>
      </c>
      <c r="C12" s="15" t="n">
        <v>4020</v>
      </c>
      <c r="D12" s="15" t="n">
        <v>10946</v>
      </c>
      <c r="E12" s="15" t="n">
        <v>12314</v>
      </c>
      <c r="F12" s="7" t="n"/>
      <c r="G12" s="7" t="n"/>
      <c r="H12" s="7" t="n"/>
      <c r="I12" s="7" t="n"/>
      <c r="J12" s="7" t="n"/>
      <c r="K12" s="7" t="n"/>
    </row>
    <row r="13">
      <c r="A13" s="3" t="n">
        <v>1988</v>
      </c>
      <c r="B13" s="15" t="n">
        <v>1351</v>
      </c>
      <c r="C13" s="15" t="n">
        <v>6947</v>
      </c>
      <c r="D13" s="15" t="n">
        <v>13112</v>
      </c>
      <c r="E13" s="7" t="n"/>
      <c r="F13" s="7" t="n"/>
      <c r="G13" s="7" t="n"/>
      <c r="H13" s="7" t="n"/>
      <c r="I13" s="7" t="n"/>
      <c r="J13" s="7" t="n"/>
      <c r="K13" s="7" t="n"/>
    </row>
    <row r="14">
      <c r="A14" s="3" t="n">
        <v>1989</v>
      </c>
      <c r="B14" s="15" t="n">
        <v>3133</v>
      </c>
      <c r="C14" s="15" t="n">
        <v>5395</v>
      </c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3" t="n">
        <v>1990</v>
      </c>
      <c r="B15" s="15" t="n">
        <v>2063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7">
      <c r="A17" s="4" t="inlineStr">
        <is>
          <t>FACTORES DE DESARROLLO (LDF)</t>
        </is>
      </c>
    </row>
    <row r="18">
      <c r="A18" s="6" t="inlineStr">
        <is>
          <t>Periodo</t>
        </is>
      </c>
      <c r="B18" s="5" t="inlineStr">
        <is>
          <t>12-24</t>
        </is>
      </c>
      <c r="C18" s="5" t="inlineStr">
        <is>
          <t>24-36</t>
        </is>
      </c>
      <c r="D18" s="5" t="inlineStr">
        <is>
          <t>36-48</t>
        </is>
      </c>
      <c r="E18" s="5" t="inlineStr">
        <is>
          <t>48-60</t>
        </is>
      </c>
      <c r="F18" s="5" t="inlineStr">
        <is>
          <t>60-72</t>
        </is>
      </c>
      <c r="G18" s="5" t="inlineStr">
        <is>
          <t>72-84</t>
        </is>
      </c>
      <c r="H18" s="5" t="inlineStr">
        <is>
          <t>84-96</t>
        </is>
      </c>
      <c r="I18" s="5" t="inlineStr">
        <is>
          <t>96-108</t>
        </is>
      </c>
      <c r="J18" s="5" t="inlineStr">
        <is>
          <t>108-120</t>
        </is>
      </c>
      <c r="K18" s="6" t="inlineStr">
        <is>
          <t>Tail</t>
        </is>
      </c>
    </row>
    <row r="19">
      <c r="A19" s="9" t="inlineStr">
        <is>
          <t>Factor</t>
        </is>
      </c>
      <c r="B19" s="13" t="n">
        <v>2.999358651335379</v>
      </c>
      <c r="C19" s="13" t="n">
        <v>1.623522753753454</v>
      </c>
      <c r="D19" s="13" t="n">
        <v>1.270888115035653</v>
      </c>
      <c r="E19" s="13" t="n">
        <v>1.171674633088375</v>
      </c>
      <c r="F19" s="13" t="n">
        <v>1.113384886206463</v>
      </c>
      <c r="G19" s="13" t="n">
        <v>1.041934637911011</v>
      </c>
      <c r="H19" s="13" t="n">
        <v>1.033263553789384</v>
      </c>
      <c r="I19" s="13" t="n">
        <v>1.016936481007563</v>
      </c>
      <c r="J19" s="13" t="n">
        <v>1.009216589861751</v>
      </c>
      <c r="K19" s="13" t="n">
        <v>1</v>
      </c>
    </row>
    <row r="21">
      <c r="A21" s="4" t="inlineStr">
        <is>
          <t>RESERVAS POR AÑO DE ORIGEN</t>
        </is>
      </c>
    </row>
    <row r="22">
      <c r="A22" s="5" t="inlineStr">
        <is>
          <t>Año</t>
        </is>
      </c>
      <c r="B22" s="5" t="inlineStr">
        <is>
          <t>Últ. acumulado</t>
        </is>
      </c>
      <c r="C22" s="5" t="inlineStr">
        <is>
          <t>CDF</t>
        </is>
      </c>
      <c r="D22" s="5" t="inlineStr">
        <is>
          <t>Ultimate</t>
        </is>
      </c>
      <c r="E22" s="5" t="inlineStr">
        <is>
          <t>IBNR</t>
        </is>
      </c>
    </row>
    <row r="23">
      <c r="A23" s="7" t="n">
        <v>1981</v>
      </c>
      <c r="B23" s="15">
        <f>K6</f>
        <v/>
      </c>
      <c r="C23" s="13">
        <f>K19</f>
        <v/>
      </c>
      <c r="D23" s="15">
        <f>B23*C23</f>
        <v/>
      </c>
      <c r="E23" s="15">
        <f>D23-B23</f>
        <v/>
      </c>
    </row>
    <row r="24">
      <c r="A24" s="7" t="n">
        <v>1982</v>
      </c>
      <c r="B24" s="15">
        <f>J7</f>
        <v/>
      </c>
      <c r="C24" s="13">
        <f>PRODUCT(J19:J19)*K19</f>
        <v/>
      </c>
      <c r="D24" s="15">
        <f>B24*C24</f>
        <v/>
      </c>
      <c r="E24" s="15">
        <f>D24-B24</f>
        <v/>
      </c>
    </row>
    <row r="25">
      <c r="A25" s="7" t="n">
        <v>1983</v>
      </c>
      <c r="B25" s="15">
        <f>I8</f>
        <v/>
      </c>
      <c r="C25" s="13">
        <f>PRODUCT(I19:J19)*K19</f>
        <v/>
      </c>
      <c r="D25" s="15">
        <f>B25*C25</f>
        <v/>
      </c>
      <c r="E25" s="15">
        <f>D25-B25</f>
        <v/>
      </c>
    </row>
    <row r="26">
      <c r="A26" s="7" t="n">
        <v>1984</v>
      </c>
      <c r="B26" s="15">
        <f>H9</f>
        <v/>
      </c>
      <c r="C26" s="13">
        <f>PRODUCT(H19:J19)*K19</f>
        <v/>
      </c>
      <c r="D26" s="15">
        <f>B26*C26</f>
        <v/>
      </c>
      <c r="E26" s="15">
        <f>D26-B26</f>
        <v/>
      </c>
    </row>
    <row r="27">
      <c r="A27" s="7" t="n">
        <v>1985</v>
      </c>
      <c r="B27" s="15">
        <f>G10</f>
        <v/>
      </c>
      <c r="C27" s="13">
        <f>PRODUCT(G19:J19)*K19</f>
        <v/>
      </c>
      <c r="D27" s="15">
        <f>B27*C27</f>
        <v/>
      </c>
      <c r="E27" s="15">
        <f>D27-B27</f>
        <v/>
      </c>
    </row>
    <row r="28">
      <c r="A28" s="7" t="n">
        <v>1986</v>
      </c>
      <c r="B28" s="15">
        <f>F11</f>
        <v/>
      </c>
      <c r="C28" s="13">
        <f>PRODUCT(F19:J19)*K19</f>
        <v/>
      </c>
      <c r="D28" s="15">
        <f>B28*C28</f>
        <v/>
      </c>
      <c r="E28" s="15">
        <f>D28-B28</f>
        <v/>
      </c>
    </row>
    <row r="29">
      <c r="A29" s="7" t="n">
        <v>1987</v>
      </c>
      <c r="B29" s="15">
        <f>E12</f>
        <v/>
      </c>
      <c r="C29" s="13">
        <f>PRODUCT(E19:J19)*K19</f>
        <v/>
      </c>
      <c r="D29" s="15">
        <f>B29*C29</f>
        <v/>
      </c>
      <c r="E29" s="15">
        <f>D29-B29</f>
        <v/>
      </c>
    </row>
    <row r="30">
      <c r="A30" s="7" t="n">
        <v>1988</v>
      </c>
      <c r="B30" s="15">
        <f>D13</f>
        <v/>
      </c>
      <c r="C30" s="13">
        <f>PRODUCT(D19:J19)*K19</f>
        <v/>
      </c>
      <c r="D30" s="15">
        <f>B30*C30</f>
        <v/>
      </c>
      <c r="E30" s="15">
        <f>D30-B30</f>
        <v/>
      </c>
    </row>
    <row r="31">
      <c r="A31" s="7" t="n">
        <v>1989</v>
      </c>
      <c r="B31" s="15">
        <f>C14</f>
        <v/>
      </c>
      <c r="C31" s="13">
        <f>PRODUCT(C19:J19)*K19</f>
        <v/>
      </c>
      <c r="D31" s="15">
        <f>B31*C31</f>
        <v/>
      </c>
      <c r="E31" s="15">
        <f>D31-B31</f>
        <v/>
      </c>
    </row>
    <row r="32">
      <c r="A32" s="7" t="n">
        <v>1990</v>
      </c>
      <c r="B32" s="15">
        <f>B15</f>
        <v/>
      </c>
      <c r="C32" s="13">
        <f>PRODUCT(B19:J19)*K19</f>
        <v/>
      </c>
      <c r="D32" s="15">
        <f>B32*C32</f>
        <v/>
      </c>
      <c r="E32" s="15">
        <f>D32-B32</f>
        <v/>
      </c>
    </row>
    <row r="33">
      <c r="A33" s="10" t="inlineStr">
        <is>
          <t>TOTAL</t>
        </is>
      </c>
      <c r="E33" s="12">
        <f>SUM(E23:E32)</f>
        <v/>
      </c>
    </row>
    <row r="35">
      <c r="A35" s="4" t="inlineStr">
        <is>
          <t>COMPARATIVO  CHAIN-LADDER  vs  BORNHUETTER-FERGUSON</t>
        </is>
      </c>
    </row>
    <row r="36">
      <c r="A36" s="5" t="inlineStr">
        <is>
          <t>Año</t>
        </is>
      </c>
      <c r="B36" s="5" t="inlineStr">
        <is>
          <t>IBNR CL</t>
        </is>
      </c>
      <c r="C36" s="5" t="inlineStr">
        <is>
          <t>IBNR BF</t>
        </is>
      </c>
      <c r="D36" s="5" t="inlineStr">
        <is>
          <t>Diferencia</t>
        </is>
      </c>
    </row>
    <row r="37">
      <c r="A37" s="7" t="n">
        <v>1981</v>
      </c>
      <c r="B37" s="15">
        <f>E23</f>
        <v/>
      </c>
      <c r="C37" s="15" t="n">
        <v>0</v>
      </c>
      <c r="D37" s="15">
        <f>C37-B37</f>
        <v/>
      </c>
    </row>
    <row r="38">
      <c r="A38" s="7" t="n">
        <v>1982</v>
      </c>
      <c r="B38" s="15">
        <f>E24</f>
        <v/>
      </c>
      <c r="C38" s="15" t="n">
        <v>130.1369863013699</v>
      </c>
      <c r="D38" s="15">
        <f>C38-B38</f>
        <v/>
      </c>
    </row>
    <row r="39">
      <c r="A39" s="7" t="n">
        <v>1983</v>
      </c>
      <c r="B39" s="15">
        <f>E25</f>
        <v/>
      </c>
      <c r="C39" s="15" t="n">
        <v>384.52108247299</v>
      </c>
      <c r="D39" s="15">
        <f>C39-B39</f>
        <v/>
      </c>
    </row>
    <row r="40">
      <c r="A40" s="7" t="n">
        <v>1984</v>
      </c>
      <c r="B40" s="15">
        <f>E26</f>
        <v/>
      </c>
      <c r="C40" s="15" t="n">
        <v>897.784602367313</v>
      </c>
      <c r="D40" s="15">
        <f>C40-B40</f>
        <v/>
      </c>
    </row>
    <row r="41">
      <c r="A41" s="7" t="n">
        <v>1985</v>
      </c>
      <c r="B41" s="15">
        <f>E27</f>
        <v/>
      </c>
      <c r="C41" s="15" t="n">
        <v>1566.756412766635</v>
      </c>
      <c r="D41" s="15">
        <f>C41-B41</f>
        <v/>
      </c>
    </row>
    <row r="42">
      <c r="A42" s="7" t="n">
        <v>1986</v>
      </c>
      <c r="B42" s="15">
        <f>E28</f>
        <v/>
      </c>
      <c r="C42" s="15" t="n">
        <v>3227.870204573616</v>
      </c>
      <c r="D42" s="15">
        <f>C42-B42</f>
        <v/>
      </c>
    </row>
    <row r="43">
      <c r="A43" s="7" t="n">
        <v>1987</v>
      </c>
      <c r="B43" s="15">
        <f>E29</f>
        <v/>
      </c>
      <c r="C43" s="15" t="n">
        <v>5512.072721032258</v>
      </c>
      <c r="D43" s="15">
        <f>C43-B43</f>
        <v/>
      </c>
    </row>
    <row r="44">
      <c r="A44" s="7" t="n">
        <v>1988</v>
      </c>
      <c r="B44" s="15">
        <f>E30</f>
        <v/>
      </c>
      <c r="C44" s="15" t="n">
        <v>8514.435257234945</v>
      </c>
      <c r="D44" s="15">
        <f>C44-B44</f>
        <v/>
      </c>
    </row>
    <row r="45">
      <c r="A45" s="7" t="n">
        <v>1989</v>
      </c>
      <c r="B45" s="15">
        <f>E31</f>
        <v/>
      </c>
      <c r="C45" s="15" t="n">
        <v>12943.27801512772</v>
      </c>
      <c r="D45" s="15">
        <f>C45-B45</f>
        <v/>
      </c>
    </row>
    <row r="46">
      <c r="A46" s="7" t="n">
        <v>1990</v>
      </c>
      <c r="B46" s="15">
        <f>E32</f>
        <v/>
      </c>
      <c r="C46" s="15" t="n">
        <v>17979.88015399772</v>
      </c>
      <c r="D46" s="15">
        <f>C46-B46</f>
        <v/>
      </c>
    </row>
    <row r="47">
      <c r="A47" s="10" t="inlineStr">
        <is>
          <t>TOTAL</t>
        </is>
      </c>
      <c r="B47" s="3">
        <f>SUM(B37:B46)</f>
        <v/>
      </c>
      <c r="C47" s="3">
        <f>SUM(C37:C46)</f>
        <v/>
      </c>
      <c r="D47" s="3">
        <f>C47-B47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RESUMEN EJECUTIVO</t>
        </is>
      </c>
    </row>
    <row r="3">
      <c r="A3" s="9" t="inlineStr">
        <is>
          <t>Prima base (tarifa)</t>
        </is>
      </c>
      <c r="B3" s="12">
        <f>'Tarifa'!B2</f>
        <v/>
      </c>
    </row>
    <row r="4">
      <c r="A4" s="9" t="inlineStr">
        <is>
          <t>IBNR total — Chain-Ladder</t>
        </is>
      </c>
      <c r="B4" s="12">
        <f>'Reservas'!E33</f>
        <v/>
      </c>
    </row>
    <row r="5">
      <c r="A5" s="9" t="inlineStr">
        <is>
          <t>IBNR total — Bornh.-Ferguson</t>
        </is>
      </c>
      <c r="B5" s="12">
        <f>'Reservas'!C47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CONTROL — reconciliación Python vs Excel</t>
        </is>
      </c>
    </row>
    <row r="3">
      <c r="A3" s="4" t="inlineStr">
        <is>
          <t>PRICING (prima de un perfil de referencia)</t>
        </is>
      </c>
    </row>
    <row r="4">
      <c r="A4" s="9" t="inlineStr">
        <is>
          <t>Prima Python</t>
        </is>
      </c>
      <c r="B4" s="12" t="n">
        <v>187.9081162547985</v>
      </c>
    </row>
    <row r="5">
      <c r="A5" s="9" t="inlineStr">
        <is>
          <t>Prima Excel</t>
        </is>
      </c>
      <c r="B5" s="12">
        <f>226.0916042720405*VLOOKUP("RC",Tarifa!$A$5:$B$7,2,FALSE)*VLOOKUP("Mujer",Tarifa!$A$10:$B$11,2,FALSE)*VLOOKUP("Gasolina",Tarifa!$A$14:$B$16,2,FALSE)*VLOOKUP("(60, 95]",Tarifa!$A$19:$B$25,2,FALSE)*VLOOKUP("(9, 40]",Tarifa!$A$28:$B$32,2,FALSE)*VLOOKUP("(5, 10]",Tarifa!$A$35:$B$40,2,FALSE)</f>
        <v/>
      </c>
    </row>
    <row r="6">
      <c r="A6" s="9" t="inlineStr">
        <is>
          <t>Diferencia (≈0)</t>
        </is>
      </c>
      <c r="B6" s="12">
        <f>B5-B4</f>
        <v/>
      </c>
    </row>
    <row r="9">
      <c r="A9" s="4" t="inlineStr">
        <is>
          <t>RESERVAS (IBNR total)</t>
        </is>
      </c>
    </row>
    <row r="10">
      <c r="A10" s="9" t="inlineStr">
        <is>
          <t>IBNR Python</t>
        </is>
      </c>
      <c r="B10" s="12" t="n">
        <v>52135.22826121016</v>
      </c>
    </row>
    <row r="11">
      <c r="A11" s="9" t="inlineStr">
        <is>
          <t>IBNR Excel</t>
        </is>
      </c>
      <c r="B11" s="12">
        <f>'Reservas'!E33</f>
        <v/>
      </c>
    </row>
    <row r="12">
      <c r="A12" s="9" t="inlineStr">
        <is>
          <t>Diferencia (≈0)</t>
        </is>
      </c>
      <c r="B12" s="12">
        <f>B11-B10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2026-10-22T17:48:48Z</dcterms:created>
  <dcterms:modified xsi:type="dcterms:W3CDTF">2026-10-28T06:11:57Z</dcterms:modified>
</cp:coreProperties>
</file>